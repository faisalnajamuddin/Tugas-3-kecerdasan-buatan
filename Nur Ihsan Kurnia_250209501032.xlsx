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file kuliah\tugas\sem 3\ai\(p6)\"/>
    </mc:Choice>
  </mc:AlternateContent>
  <xr:revisionPtr revIDLastSave="0" documentId="13_ncr:1_{E1C807B4-864F-4F5D-9023-93A2EBFF078E}" xr6:coauthVersionLast="47" xr6:coauthVersionMax="47" xr10:uidLastSave="{00000000-0000-0000-0000-000000000000}"/>
  <bookViews>
    <workbookView xWindow="-110" yWindow="-110" windowWidth="19420" windowHeight="12220" xr2:uid="{E73245F6-0308-4291-8440-A16D16392562}"/>
  </bookViews>
  <sheets>
    <sheet name="Sheet1" sheetId="1" r:id="rId1"/>
  </sheets>
  <definedNames>
    <definedName name="_xlchart.v1.0" hidden="1">Sheet1!$A$4:$A$7</definedName>
    <definedName name="_xlchart.v1.1" hidden="1">Sheet1!$B$3</definedName>
    <definedName name="_xlchart.v1.10" hidden="1">Sheet1!$A$4:$A$7</definedName>
    <definedName name="_xlchart.v1.11" hidden="1">Sheet1!$B$4:$B$7</definedName>
    <definedName name="_xlchart.v1.2" hidden="1">Sheet1!$B$4:$B$7</definedName>
    <definedName name="_xlchart.v1.3" hidden="1">Sheet1!$C$3</definedName>
    <definedName name="_xlchart.v1.4" hidden="1">Sheet1!$C$4:$C$7</definedName>
    <definedName name="_xlchart.v1.5" hidden="1">Sheet1!$A$4:$A$7</definedName>
    <definedName name="_xlchart.v1.6" hidden="1">Sheet1!$B$3</definedName>
    <definedName name="_xlchart.v1.7" hidden="1">Sheet1!$B$4:$B$7</definedName>
    <definedName name="_xlchart.v1.8" hidden="1">Sheet1!$C$3</definedName>
    <definedName name="_xlchart.v1.9" hidden="1">Sheet1!$C$4:$C$7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8" i="1" l="1"/>
  <c r="F7" i="1"/>
  <c r="H4" i="1" l="1"/>
  <c r="H3" i="1"/>
  <c r="C5" i="1"/>
  <c r="C6" i="1"/>
  <c r="C7" i="1" s="1"/>
  <c r="C4" i="1"/>
  <c r="B7" i="1"/>
</calcChain>
</file>

<file path=xl/sharedStrings.xml><?xml version="1.0" encoding="utf-8"?>
<sst xmlns="http://schemas.openxmlformats.org/spreadsheetml/2006/main" count="21" uniqueCount="20">
  <si>
    <t>evidence</t>
  </si>
  <si>
    <t>MB</t>
  </si>
  <si>
    <t>MD</t>
  </si>
  <si>
    <t>bintik</t>
  </si>
  <si>
    <t>panas</t>
  </si>
  <si>
    <t xml:space="preserve">1.ada 40 laptop di lab dengan masing masing kategori = 10 lemot, 8 kena virus, 22 normal 
* hitung persentase berdasarkan kondisi masing masing laptop
* dari perseentase,buatkan chart 
* jika P(lemot) = 25% apakah bisa dibuktikan dengan teori Bayes??
* buat kolom </t>
  </si>
  <si>
    <t xml:space="preserve">2. buktikan menggunakan cf(certainty factor) 
* hanya bitnik
* bintik panas </t>
  </si>
  <si>
    <t>jawaban  :</t>
  </si>
  <si>
    <t>p(lemot)</t>
  </si>
  <si>
    <t>p(kena Virus)</t>
  </si>
  <si>
    <t>p(normal)</t>
  </si>
  <si>
    <t>jumlah</t>
  </si>
  <si>
    <t>kategori</t>
  </si>
  <si>
    <t>persentase</t>
  </si>
  <si>
    <t>TOTAL</t>
  </si>
  <si>
    <t>CF</t>
  </si>
  <si>
    <t>KASUS</t>
  </si>
  <si>
    <t>PERSENTASE</t>
  </si>
  <si>
    <t>bintik + panas</t>
  </si>
  <si>
    <t>Nilai 25% tidak perlu dibuktikan dengan Teorema Bayes. Angka ini murni probabilitas awal (prior probability) yang ditarik langsung dari data riil:
Rumus =(Lemot) = 10/40 = 0,25  =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</si>
</sst>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9" fontId="0" fillId="0" borderId="1" xfId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9" fontId="0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/>
    <xf numFmtId="0" fontId="0" fillId="0" borderId="1" xfId="0" applyBorder="1" applyAlignment="1"/>
    <xf numFmtId="0" fontId="2" fillId="0" borderId="1" xfId="0" applyFont="1" applyBorder="1" applyAlignment="1"/>
    <xf numFmtId="9" fontId="0" fillId="0" borderId="1" xfId="0" applyNumberFormat="1" applyBorder="1" applyAlignment="1"/>
    <xf numFmtId="9" fontId="0" fillId="0" borderId="1" xfId="0" applyNumberFormat="1" applyBorder="1"/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/>
    </xf>
    <xf numFmtId="9" fontId="2" fillId="0" borderId="1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jumlah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Sheet1!$A$4:$A$6</c:f>
              <c:strCache>
                <c:ptCount val="3"/>
                <c:pt idx="0">
                  <c:v>p(lemot)</c:v>
                </c:pt>
                <c:pt idx="1">
                  <c:v>p(kena Virus)</c:v>
                </c:pt>
                <c:pt idx="2">
                  <c:v>p(normal)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3"/>
                <c:pt idx="0">
                  <c:v>10</c:v>
                </c:pt>
                <c:pt idx="1">
                  <c:v>8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2-47D3-B080-9CEEAD9227F5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persentase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Sheet1!$A$4:$A$6</c:f>
              <c:strCache>
                <c:ptCount val="3"/>
                <c:pt idx="0">
                  <c:v>p(lemot)</c:v>
                </c:pt>
                <c:pt idx="1">
                  <c:v>p(kena Virus)</c:v>
                </c:pt>
                <c:pt idx="2">
                  <c:v>p(normal)</c:v>
                </c:pt>
              </c:strCache>
            </c:strRef>
          </c:cat>
          <c:val>
            <c:numRef>
              <c:f>Sheet1!$C$4:$C$6</c:f>
              <c:numCache>
                <c:formatCode>0%</c:formatCode>
                <c:ptCount val="3"/>
                <c:pt idx="0">
                  <c:v>0.25</c:v>
                </c:pt>
                <c:pt idx="1">
                  <c:v>0.2</c:v>
                </c:pt>
                <c:pt idx="2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22-47D3-B080-9CEEAD9227F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1303299</xdr:colOff>
      <xdr:row>7</xdr:row>
      <xdr:rowOff>153947</xdr:rowOff>
    </xdr:from>
    <xdr:to>
      <xdr:col>2</xdr:col>
      <xdr:colOff>1184817</xdr:colOff>
      <xdr:row>18</xdr:row>
      <xdr:rowOff>15488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B6677E-82F2-221F-858A-59F7C4F72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3864-20E6-4179-AE14-89B776464582}">
  <dimension ref="A1:H22"/>
  <sheetViews>
    <sheetView tabSelected="1" zoomScale="82" workbookViewId="0">
      <selection activeCell="D16" sqref="D16"/>
    </sheetView>
  </sheetViews>
  <sheetFormatPr defaultRowHeight="14.5" x14ac:dyDescent="0.35"/>
  <cols>
    <col min="1" max="3" width="29.7265625" customWidth="1"/>
    <col min="4" max="6" width="13.26953125" customWidth="1"/>
  </cols>
  <sheetData>
    <row r="1" spans="1:8" ht="83" customHeight="1" x14ac:dyDescent="0.35">
      <c r="A1" s="5" t="s">
        <v>5</v>
      </c>
      <c r="B1" s="5"/>
      <c r="C1" s="5"/>
      <c r="E1" s="7" t="s">
        <v>6</v>
      </c>
      <c r="F1" s="7"/>
      <c r="G1" s="7"/>
    </row>
    <row r="2" spans="1:8" x14ac:dyDescent="0.35">
      <c r="A2" s="6" t="s">
        <v>7</v>
      </c>
      <c r="B2" s="6"/>
      <c r="C2" s="6"/>
      <c r="E2" s="11" t="s">
        <v>0</v>
      </c>
      <c r="F2" s="11" t="s">
        <v>1</v>
      </c>
      <c r="G2" s="11" t="s">
        <v>2</v>
      </c>
      <c r="H2" s="12" t="s">
        <v>15</v>
      </c>
    </row>
    <row r="3" spans="1:8" x14ac:dyDescent="0.35">
      <c r="A3" s="4" t="s">
        <v>12</v>
      </c>
      <c r="B3" s="4" t="s">
        <v>11</v>
      </c>
      <c r="C3" s="4" t="s">
        <v>13</v>
      </c>
      <c r="E3" s="13" t="s">
        <v>3</v>
      </c>
      <c r="F3" s="10">
        <v>0.8</v>
      </c>
      <c r="G3" s="10">
        <v>0.01</v>
      </c>
      <c r="H3" s="10">
        <f>F3 - G3</f>
        <v>0.79</v>
      </c>
    </row>
    <row r="4" spans="1:8" x14ac:dyDescent="0.35">
      <c r="A4" s="3" t="s">
        <v>8</v>
      </c>
      <c r="B4" s="3">
        <v>10</v>
      </c>
      <c r="C4" s="8">
        <f>B4/40</f>
        <v>0.25</v>
      </c>
      <c r="E4" s="13" t="s">
        <v>4</v>
      </c>
      <c r="F4" s="10">
        <v>0.7</v>
      </c>
      <c r="G4" s="10">
        <v>0.05</v>
      </c>
      <c r="H4" s="10">
        <f>F4 - G4</f>
        <v>0.64999999999999991</v>
      </c>
    </row>
    <row r="5" spans="1:8" ht="14.5" customHeight="1" x14ac:dyDescent="0.35">
      <c r="A5" s="3" t="s">
        <v>9</v>
      </c>
      <c r="B5" s="3">
        <v>8</v>
      </c>
      <c r="C5" s="8">
        <f>B5/40</f>
        <v>0.2</v>
      </c>
    </row>
    <row r="6" spans="1:8" ht="15.5" customHeight="1" x14ac:dyDescent="0.35">
      <c r="A6" s="3" t="s">
        <v>10</v>
      </c>
      <c r="B6" s="3">
        <v>22</v>
      </c>
      <c r="C6" s="8">
        <f>B6/40</f>
        <v>0.55000000000000004</v>
      </c>
      <c r="E6" s="16" t="s">
        <v>16</v>
      </c>
      <c r="F6" s="16" t="s">
        <v>17</v>
      </c>
      <c r="G6" s="14"/>
    </row>
    <row r="7" spans="1:8" x14ac:dyDescent="0.35">
      <c r="A7" s="9" t="s">
        <v>14</v>
      </c>
      <c r="B7" s="20">
        <f>B6+ B5 + B4</f>
        <v>40</v>
      </c>
      <c r="C7" s="21">
        <f>C6 + C5+ C4</f>
        <v>1</v>
      </c>
      <c r="E7" s="15" t="s">
        <v>3</v>
      </c>
      <c r="F7" s="17">
        <f>H3</f>
        <v>0.79</v>
      </c>
      <c r="G7" s="14"/>
    </row>
    <row r="8" spans="1:8" x14ac:dyDescent="0.35">
      <c r="E8" s="1" t="s">
        <v>18</v>
      </c>
      <c r="F8" s="18">
        <f>F3+F4 *(1-F3)</f>
        <v>0.94</v>
      </c>
    </row>
    <row r="9" spans="1:8" ht="19.5" customHeight="1" x14ac:dyDescent="0.35"/>
    <row r="20" spans="1:3" ht="64" customHeight="1" x14ac:dyDescent="0.35">
      <c r="A20" s="2" t="s">
        <v>19</v>
      </c>
      <c r="B20" s="2"/>
      <c r="C20" s="2"/>
    </row>
    <row r="21" spans="1:3" x14ac:dyDescent="0.35">
      <c r="A21" s="19"/>
      <c r="B21" s="19"/>
      <c r="C21" s="19"/>
    </row>
    <row r="22" spans="1:3" x14ac:dyDescent="0.35">
      <c r="A22" s="19"/>
      <c r="B22" s="19"/>
      <c r="C22" s="19"/>
    </row>
  </sheetData>
  <mergeCells count="4">
    <mergeCell ref="A20:C20"/>
    <mergeCell ref="A1:C1"/>
    <mergeCell ref="E1:G1"/>
    <mergeCell ref="A2:C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14IRH10</dc:creator>
  <cp:lastModifiedBy>Lenovo 14IRH10</cp:lastModifiedBy>
  <dcterms:created xsi:type="dcterms:W3CDTF">2026-09-23T01:47:44Z</dcterms:created>
  <dcterms:modified xsi:type="dcterms:W3CDTF">2026-09-23T02:57:22Z</dcterms:modified>
</cp:coreProperties>
</file>