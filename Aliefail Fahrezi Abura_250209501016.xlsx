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<sst xmlns="http://schemas.openxmlformats.org/spreadsheetml/2006/main" count="21" uniqueCount="21">
  <si>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Kategori</t>
  </si>
  <si>
    <t>Jumlah</t>
  </si>
  <si>
    <t>Persentasi</t>
  </si>
  <si>
    <t>Slow</t>
  </si>
  <si>
    <t>Virus</t>
  </si>
  <si>
    <t>Normal</t>
  </si>
  <si>
    <t>P(Virus)</t>
  </si>
  <si>
    <t>P(Normal)</t>
  </si>
  <si>
    <t xml:space="preserve">P(Positif | Virus)</t>
  </si>
  <si>
    <t xml:space="preserve">P(Positif | Normal)</t>
  </si>
  <si>
    <t>P(Positif)</t>
  </si>
  <si>
    <t>P(Virus|Positif)</t>
  </si>
  <si>
    <t>Evidence</t>
  </si>
  <si>
    <t>MB</t>
  </si>
  <si>
    <t>MD</t>
  </si>
  <si>
    <t>Bintik</t>
  </si>
  <si>
    <t>Panas</t>
  </si>
  <si>
    <t xml:space="preserve">Hanya Bintik</t>
  </si>
  <si>
    <t xml:space="preserve">CF Bintik + Panas</t>
  </si>
  <si>
    <t>Gabungan</t>
  </si>
  <si>
    <t xml:space="preserve">MB - MD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</si>
</sst>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color indexed="64"/>
      <name val="Times New Roman"/>
    </font>
    <font>
      <b/>
      <sz val="12.000000"/>
      <color indexed="64"/>
      <name val="Times New Roman"/>
    </font>
    <font>
      <sz val="11.000000"/>
      <color indexed="64"/>
      <name val="Times New Roman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theme="7" tint="0"/>
        <bgColor theme="7" tint="0"/>
      </patternFill>
    </fill>
    <fill>
      <patternFill patternType="solid">
        <fgColor theme="5" tint="0"/>
        <bgColor theme="5" tint="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2" tint="-0.249977111117893"/>
        <bgColor theme="2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0" fillId="2" borderId="0" numFmtId="43" applyNumberFormat="1" applyFont="0" applyFill="0" applyBorder="0"/>
  </cellStyleXfs>
  <cellXfs count="12">
    <xf fontId="0" fillId="0" borderId="0" numFmtId="0" xfId="0"/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left" vertical="center" wrapText="1"/>
    </xf>
    <xf fontId="1" fillId="0" borderId="0" numFmtId="9" xfId="1" applyNumberFormat="1" applyFont="1" applyAlignment="1">
      <alignment horizontal="left" vertical="center" wrapText="1"/>
    </xf>
    <xf fontId="0" fillId="3" borderId="0" numFmtId="0" xfId="0" applyFill="1"/>
    <xf fontId="0" fillId="4" borderId="0" numFmtId="0" xfId="0" applyFill="1"/>
    <xf fontId="0" fillId="3" borderId="0" numFmtId="9" xfId="1" applyNumberFormat="1" applyFill="1"/>
    <xf fontId="0" fillId="5" borderId="0" numFmtId="0" xfId="0" applyFill="1"/>
    <xf fontId="0" fillId="5" borderId="0" numFmtId="9" xfId="1" applyNumberFormat="1" applyFill="1"/>
    <xf fontId="0" fillId="6" borderId="0" numFmtId="0" xfId="0" applyFill="1"/>
    <xf fontId="0" fillId="6" borderId="0" numFmtId="9" xfId="1" applyNumberFormat="1" applyFill="1"/>
  </cellXfs>
  <cellStyles count="3">
    <cellStyle name="Normal" xfId="0" builtinId="0"/>
    <cellStyle name="Percent" xfId="1" builtinId="5"/>
    <cellStyle name="Comm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800" b="1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view3D>
      <c:rotX val="50"/>
      <c:rotY val="0"/>
      <c:depthPercent val="100"/>
      <c:rAngAx val="0"/>
    </c:view3D>
    <c:floor>
      <c:thickness val="0"/>
      <c:spPr bwMode="auto">
        <a:prstGeom prst="rect">
          <a:avLst/>
        </a:prstGeom>
        <a:noFill/>
        <a:ln>
          <a:noFill/>
        </a:ln>
      </c:spPr>
    </c:floor>
    <c:sideWall>
      <c:thickness val="0"/>
      <c:spPr bwMode="auto">
        <a:prstGeom prst="rect">
          <a:avLst/>
        </a:prstGeom>
        <a:noFill/>
        <a:ln>
          <a:noFill/>
        </a:ln>
      </c:spPr>
    </c:sideWall>
    <c:backWall>
      <c:thickness val="0"/>
      <c:spPr bwMode="auto">
        <a:prstGeom prst="rect">
          <a:avLst/>
        </a:prstGeom>
        <a:noFill/>
        <a:ln>
          <a:noFill/>
        </a:ln>
      </c:spPr>
    </c:backWall>
    <c:plotArea>
      <c:layout>
        <c:manualLayout/>
      </c:layout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Lbls>
            <c:dLbl>
              <c:idx val="0"/>
              <c:dLblPos val="ctr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:spPr>
              <c:txPr>
                <a:bodyPr/>
                <a:p>
                  <a:pPr>
                    <a:defRPr sz="1000" b="1" i="0" u="none" strike="noStrike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ctr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:spPr>
              <c:txPr>
                <a:bodyPr/>
                <a:p>
                  <a:pPr>
                    <a:defRPr sz="1000" b="1" i="0" u="none" strike="noStrike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ctr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:spPr>
              <c:txPr>
                <a:bodyPr/>
                <a:p>
                  <a:pPr>
                    <a:defRPr sz="1000" b="1" i="0" u="none" strike="noStrike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ctr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</c:spPr>
            <c:txPr>
              <a:bodyPr/>
              <a:p>
                <a:pPr>
                  <a:defRPr sz="10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Sheet1!$A$2:$A$4</c:f>
              <c:strCache>
                <c:ptCount val="3"/>
                <c:pt idx="0">
                  <c:v>Slow</c:v>
                </c:pt>
                <c:pt idx="1">
                  <c:v>Virus</c:v>
                </c:pt>
                <c:pt idx="2">
                  <c:v>Normal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</c:ser>
        <c:dLbls>
          <c:dLblPos val="ctr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</c:spPr>
          <c:txPr>
            <a:bodyPr/>
            <a:p>
              <a:pPr>
                <a:defRPr sz="1000" b="1" i="0" u="none" strike="noStrike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</c:pie3DChart>
      <c:spPr bwMode="auto">
        <a:prstGeom prst="rect">
          <a:avLst/>
        </a:prstGeom>
        <a:noFill/>
        <a:ln>
          <a:noFill/>
        </a:ln>
      </c:spPr>
    </c:plotArea>
    <c:legend>
      <c:legendPos val="r"/>
      <c:layout/>
      <c:overlay val="0"/>
      <c:spPr bwMode="auto">
        <a:prstGeom prst="rect">
          <a:avLst/>
        </a:prstGeom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3448049" y="0"/>
      <a:ext cx="2232024" cy="1622424"/>
    </a:xfrm>
    <a:prstGeom prst="rect">
      <a:avLst/>
    </a:prstGeom>
    <a:gradFill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/>
    </a:gradFill>
    <a:ln w="9525" cap="flat" cmpd="sng" algn="ctr">
      <a:solidFill>
        <a:schemeClr val="dk1">
          <a:lumMod val="25000"/>
          <a:lumOff val="7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cap="all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spPr bwMode="auto">
      <a:prstGeom prst="rect">
        <a:avLst/>
      </a:prstGeom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rotWithShape="0">
          <a:prstClr val="black">
            <a:alpha val="40000"/>
          </a:prstClr>
        </a:outerShdw>
      </a:effectLst>
    </cs:spPr>
    <cs:defRPr sz="1000" b="1" i="0" u="none" strike="noStrike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effectLst>
        <a:outerShdw blurRad="254000" sx="102000" sy="102000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effectLst>
        <a:outerShdw blurRad="254000" sx="102000" sy="102000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>
          <a:alpha val="85000"/>
        </a:schemeClr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>
        <a:noFill/>
      </a:ln>
    </cs:spPr>
    <cs:defRPr sz="900"/>
  </cs:valueAxis>
  <cs:wall>
    <cs:lnRef idx="0"/>
    <cs:fillRef idx="0"/>
    <cs:effectRef idx="0"/>
    <cs:fontRef idx="minor">
      <a:schemeClr val="dk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25399</xdr:colOff>
      <xdr:row>0</xdr:row>
      <xdr:rowOff>0</xdr:rowOff>
    </xdr:from>
    <xdr:to>
      <xdr:col>7</xdr:col>
      <xdr:colOff>428624</xdr:colOff>
      <xdr:row>8</xdr:row>
      <xdr:rowOff>161924</xdr:rowOff>
    </xdr:to>
    <xdr:graphicFrame>
      <xdr:nvGraphicFramePr>
        <xdr:cNvPr id="266477962" name=""/>
        <xdr:cNvGraphicFramePr>
          <a:graphicFrameLocks xmlns:a="http://schemas.openxmlformats.org/drawingml/2006/main"/>
        </xdr:cNvGraphicFramePr>
      </xdr:nvGraphicFramePr>
      <xdr:xfrm>
        <a:off x="3448049" y="0"/>
        <a:ext cx="2232024" cy="16224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140625"/>
    <col customWidth="1" min="2" max="3" width="12.00390625"/>
  </cols>
  <sheetData>
    <row r="1" ht="15">
      <c r="A1" s="1" t="s">
        <v>0</v>
      </c>
      <c r="B1" s="1" t="s">
        <v>1</v>
      </c>
      <c r="C1" s="2" t="s">
        <v>2</v>
      </c>
      <c r="D1" s="2"/>
    </row>
    <row r="2" ht="15">
      <c r="A2" s="3" t="s">
        <v>3</v>
      </c>
      <c r="B2" s="1">
        <v>10</v>
      </c>
      <c r="C2" s="1">
        <f>B2/40</f>
        <v>0.25</v>
      </c>
      <c r="D2" s="4">
        <v>0.25</v>
      </c>
    </row>
    <row r="3" ht="15">
      <c r="A3" s="1" t="s">
        <v>4</v>
      </c>
      <c r="B3" s="1">
        <v>8</v>
      </c>
      <c r="C3" s="1">
        <f>B3/40</f>
        <v>0.20000000000000001</v>
      </c>
      <c r="D3" s="4">
        <v>0.20000000000000001</v>
      </c>
    </row>
    <row r="4" ht="15">
      <c r="A4" s="1" t="s">
        <v>5</v>
      </c>
      <c r="B4" s="1">
        <v>22</v>
      </c>
      <c r="C4" s="1">
        <f>B4/40</f>
        <v>0.55000000000000004</v>
      </c>
      <c r="D4" s="4">
        <v>0.55000000000000004</v>
      </c>
    </row>
    <row r="5" ht="15">
      <c r="A5" s="1"/>
      <c r="B5" s="1"/>
      <c r="C5" s="1"/>
      <c r="D5" s="1"/>
    </row>
    <row r="6" ht="15">
      <c r="A6" s="1"/>
      <c r="B6" s="1"/>
      <c r="C6" s="1"/>
      <c r="D6" s="1"/>
    </row>
    <row r="12" ht="14.25">
      <c r="A12" t="s">
        <v>6</v>
      </c>
      <c r="B12">
        <f>B3/40</f>
        <v>0.20000000000000001</v>
      </c>
    </row>
    <row r="13" ht="14.25">
      <c r="A13" t="s">
        <v>7</v>
      </c>
      <c r="B13">
        <f>B4/40</f>
        <v>0.55000000000000004</v>
      </c>
    </row>
    <row r="14" ht="14.25">
      <c r="A14" t="s">
        <v>8</v>
      </c>
      <c r="B14">
        <v>0.90000000000000002</v>
      </c>
    </row>
    <row r="15" ht="14.25">
      <c r="A15" t="s">
        <v>9</v>
      </c>
      <c r="B15">
        <v>0.050000000000000003</v>
      </c>
    </row>
    <row r="16" ht="14.25">
      <c r="A16" t="s">
        <v>10</v>
      </c>
      <c r="B16">
        <f>B14*B12+B15*B13</f>
        <v>0.20750000000000002</v>
      </c>
    </row>
    <row r="17" ht="14.25">
      <c r="A17" t="s">
        <v>11</v>
      </c>
      <c r="B17">
        <f>(B14*B12)/B16</f>
        <v>0.86746987951807231</v>
      </c>
    </row>
    <row r="20" ht="14.25">
      <c r="A20" t="s">
        <v>12</v>
      </c>
      <c r="B20" t="s">
        <v>13</v>
      </c>
      <c r="C20" t="s">
        <v>14</v>
      </c>
    </row>
    <row r="21" ht="14.25">
      <c r="A21" s="5" t="s">
        <v>15</v>
      </c>
      <c r="B21" s="5">
        <v>0.80000000000000004</v>
      </c>
      <c r="C21" s="5">
        <v>0.040000000000000001</v>
      </c>
    </row>
    <row r="22" ht="14.25">
      <c r="A22" s="6" t="s">
        <v>16</v>
      </c>
      <c r="B22" s="6">
        <v>0.69999999999999996</v>
      </c>
      <c r="C22" s="6">
        <v>0.050000000000000003</v>
      </c>
    </row>
    <row r="24" ht="14.25">
      <c r="A24" s="5" t="s">
        <v>17</v>
      </c>
      <c r="B24" s="7">
        <f>B21-C21</f>
        <v>0.76000000000000001</v>
      </c>
      <c r="C24" s="5"/>
    </row>
    <row r="25" ht="14.25">
      <c r="A25" s="8" t="s">
        <v>18</v>
      </c>
      <c r="B25" s="9">
        <f>B21+B22*(1-B21)</f>
        <v>0.93999999999999995</v>
      </c>
      <c r="C25" s="8" t="s">
        <v>13</v>
      </c>
    </row>
    <row r="26" ht="14.25">
      <c r="A26" s="8"/>
      <c r="B26" s="9">
        <f>C21+C22*(1-C21)</f>
        <v>0.087999999999999995</v>
      </c>
      <c r="C26" s="8" t="s">
        <v>14</v>
      </c>
    </row>
    <row r="27" ht="14.25">
      <c r="A27" s="10" t="s">
        <v>19</v>
      </c>
      <c r="B27" s="11">
        <f>B25-B26</f>
        <v>0.85199999999999998</v>
      </c>
      <c r="C27" s="10" t="s">
        <v>20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2026-09-23T02:29:32Z</dcterms:modified>
</cp:coreProperties>
</file>